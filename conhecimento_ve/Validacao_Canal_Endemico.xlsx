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al_Endemico_SE30" sheetId="1" state="visible" r:id="rId1"/>
    <sheet name="Regras_Homologacao" sheetId="2" state="visible" r:id="rId2"/>
    <sheet name="Score_Prioridade" sheetId="3" state="visible" r:id="rId3"/>
    <sheet name="Exemplo_Juina" sheetId="4" state="visible" r:id="rId4"/>
    <sheet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&quot;x&quot;"/>
    <numFmt numFmtId="166" formatCode="0.00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right" vertical="center"/>
    </xf>
    <xf numFmtId="167" fontId="2" fillId="0" borderId="2" applyAlignment="1" pivotButton="0" quotePrefix="0" xfId="0">
      <alignment horizontal="right" vertical="center"/>
    </xf>
    <xf numFmtId="3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9" customWidth="1" min="4" max="4"/>
    <col width="22" customWidth="1" min="5" max="5"/>
    <col width="21" customWidth="1" min="6" max="6"/>
    <col width="19" customWidth="1" min="7" max="7"/>
    <col width="24" customWidth="1" min="8" max="8"/>
    <col width="30" customWidth="1" min="9" max="9"/>
    <col width="28" customWidth="1" min="10" max="10"/>
    <col width="107" customWidth="1" min="11" max="11"/>
    <col width="66" customWidth="1" min="12" max="12"/>
  </cols>
  <sheetData>
    <row r="1" ht="28" customHeight="1">
      <c r="A1" s="1" t="inlineStr">
        <is>
          <t>Municipio</t>
        </is>
      </c>
      <c r="B1" s="1" t="inlineStr">
        <is>
          <t>Agravo</t>
        </is>
      </c>
      <c r="C1" s="1" t="inlineStr">
        <is>
          <t>Marcador_Alerta</t>
        </is>
      </c>
      <c r="D1" s="1" t="inlineStr">
        <is>
          <t>Exames_Marcador</t>
        </is>
      </c>
      <c r="E1" s="1" t="inlineStr">
        <is>
          <t>Positivos_Marcador</t>
        </is>
      </c>
      <c r="F1" s="1" t="inlineStr">
        <is>
          <t>Mediana_Historica</t>
        </is>
      </c>
      <c r="G1" s="1" t="inlineStr">
        <is>
          <t>Limite_Superior</t>
        </is>
      </c>
      <c r="H1" s="1" t="inlineStr">
        <is>
          <t>Multiplo_Mediana</t>
        </is>
      </c>
      <c r="I1" s="1" t="inlineStr">
        <is>
          <t>Zona_Canal</t>
        </is>
      </c>
      <c r="J1" s="1" t="inlineStr">
        <is>
          <t>N_Minimo_Atendido</t>
        </is>
      </c>
      <c r="K1" s="1" t="inlineStr">
        <is>
          <t>Volume_Contexto</t>
        </is>
      </c>
      <c r="L1" s="1" t="inlineStr">
        <is>
          <t>Classificacao_Recomendada</t>
        </is>
      </c>
    </row>
    <row r="2">
      <c r="A2" s="2" t="inlineStr">
        <is>
          <t>Juína</t>
        </is>
      </c>
      <c r="B2" s="2" t="inlineStr">
        <is>
          <t>hepatite B</t>
        </is>
      </c>
      <c r="C2" s="2" t="inlineStr">
        <is>
          <t>anti-HBc IgM</t>
        </is>
      </c>
      <c r="D2" s="3" t="n">
        <v>28</v>
      </c>
      <c r="E2" s="3" t="n">
        <v>24</v>
      </c>
      <c r="F2" s="4" t="n">
        <v>4</v>
      </c>
      <c r="G2" s="4" t="n">
        <v>10</v>
      </c>
      <c r="H2" s="5">
        <f>IFERROR(E2/F2, "-")</f>
        <v/>
      </c>
      <c r="I2" s="6" t="inlineStr">
        <is>
          <t>zona_epidemica_estatistica</t>
        </is>
      </c>
      <c r="J2" s="6">
        <f>IF(D2&gt;=5, "SIM", "NAO")</f>
        <v/>
      </c>
      <c r="K2" s="2" t="inlineStr">
        <is>
          <t>Aumento expressivo no marcador agudo (anti-HBc IgM); verificar se houve busca ativa ou surto localizado</t>
        </is>
      </c>
      <c r="L2" s="2" t="inlineStr">
        <is>
          <t>zona epidêmica estatística — investigar, não declarar epidemia</t>
        </is>
      </c>
    </row>
    <row r="3">
      <c r="A3" s="2" t="inlineStr">
        <is>
          <t>Cuiabá</t>
        </is>
      </c>
      <c r="B3" s="2" t="inlineStr">
        <is>
          <t>hepatite B</t>
        </is>
      </c>
      <c r="C3" s="2" t="inlineStr">
        <is>
          <t>anti-HBc IgM</t>
        </is>
      </c>
      <c r="D3" s="3" t="n">
        <v>65</v>
      </c>
      <c r="E3" s="3" t="n">
        <v>21</v>
      </c>
      <c r="F3" s="4" t="n">
        <v>3</v>
      </c>
      <c r="G3" s="4" t="n">
        <v>8</v>
      </c>
      <c r="H3" s="5">
        <f>IFERROR(E3/F3, "-")</f>
        <v/>
      </c>
      <c r="I3" s="6" t="inlineStr">
        <is>
          <t>zona_epidemica_estatistica</t>
        </is>
      </c>
      <c r="J3" s="6">
        <f>IF(D3&gt;=5, "SIM", "NAO")</f>
        <v/>
      </c>
      <c r="K3" s="2" t="inlineStr">
        <is>
          <t>Volume elevado de testagem na capital; taxa de positividade proporcionalmente alta no marcador agudo</t>
        </is>
      </c>
      <c r="L3" s="2" t="inlineStr">
        <is>
          <t>zona epidêmica estatística — investigar, não declarar epidemia</t>
        </is>
      </c>
    </row>
    <row r="4">
      <c r="A4" s="2" t="inlineStr">
        <is>
          <t>Sorriso</t>
        </is>
      </c>
      <c r="B4" s="2" t="inlineStr">
        <is>
          <t>hepatite B</t>
        </is>
      </c>
      <c r="C4" s="2" t="inlineStr">
        <is>
          <t>anti-HBc IgM</t>
        </is>
      </c>
      <c r="D4" s="3" t="n">
        <v>35</v>
      </c>
      <c r="E4" s="3" t="n">
        <v>13</v>
      </c>
      <c r="F4" s="4" t="n">
        <v>2</v>
      </c>
      <c r="G4" s="4" t="n">
        <v>5.8</v>
      </c>
      <c r="H4" s="5">
        <f>IFERROR(E4/F4, "-")</f>
        <v/>
      </c>
      <c r="I4" s="6" t="inlineStr">
        <is>
          <t>zona_epidemica_estatistica</t>
        </is>
      </c>
      <c r="J4" s="6">
        <f>IF(D4&gt;=5, "SIM", "NAO")</f>
        <v/>
      </c>
      <c r="K4" s="2" t="inlineStr">
        <is>
          <t>Aumento no marcador agudo acima do limite superior (P75); verificar triagem ocupacional/campanha</t>
        </is>
      </c>
      <c r="L4" s="2" t="inlineStr">
        <is>
          <t>zona epidêmica estatística — investigar, não declarar epidemia</t>
        </is>
      </c>
    </row>
    <row r="5">
      <c r="A5" s="2" t="inlineStr">
        <is>
          <t>Colíder</t>
        </is>
      </c>
      <c r="B5" s="2" t="inlineStr">
        <is>
          <t>hepatite B</t>
        </is>
      </c>
      <c r="C5" s="2" t="inlineStr">
        <is>
          <t>anti-HBc IgM</t>
        </is>
      </c>
      <c r="D5" s="3" t="n">
        <v>12</v>
      </c>
      <c r="E5" s="3" t="n">
        <v>4</v>
      </c>
      <c r="F5" s="4" t="n">
        <v>1</v>
      </c>
      <c r="G5" s="4" t="n">
        <v>2.5</v>
      </c>
      <c r="H5" s="5">
        <f>IFERROR(E5/F5, "-")</f>
        <v/>
      </c>
      <c r="I5" s="6" t="inlineStr">
        <is>
          <t>zona_epidemica_estatistica</t>
        </is>
      </c>
      <c r="J5" s="6">
        <f>IF(D5&gt;=5, "SIM", "NAO")</f>
        <v/>
      </c>
      <c r="K5" s="2" t="inlineStr">
        <is>
          <t>Pequeno volume absoluto mas ultrapassa P75 histórico; requer verificação laboratorial</t>
        </is>
      </c>
      <c r="L5" s="2" t="inlineStr">
        <is>
          <t>zona epidêmica estatística — investigar, não declarar epidemia</t>
        </is>
      </c>
    </row>
    <row r="6">
      <c r="A6" s="2" t="inlineStr">
        <is>
          <t>Várzea Grande</t>
        </is>
      </c>
      <c r="B6" s="2" t="inlineStr">
        <is>
          <t>dengue</t>
        </is>
      </c>
      <c r="C6" s="2" t="inlineStr">
        <is>
          <t>NS1/PCR</t>
        </is>
      </c>
      <c r="D6" s="3" t="n">
        <v>15</v>
      </c>
      <c r="E6" s="3" t="n">
        <v>3</v>
      </c>
      <c r="F6" s="4" t="n">
        <v>1</v>
      </c>
      <c r="G6" s="4" t="n">
        <v>2</v>
      </c>
      <c r="H6" s="5">
        <f>IFERROR(E6/F6, "-")</f>
        <v/>
      </c>
      <c r="I6" s="6" t="inlineStr">
        <is>
          <t>zona_epidemica_estatistica</t>
        </is>
      </c>
      <c r="J6" s="6">
        <f>IF(D6&gt;=5, "SIM", "NAO")</f>
        <v/>
      </c>
      <c r="K6" s="2" t="inlineStr">
        <is>
          <t>Positividade em métodos diretos (NS1/PCR) acima de P75; monitorar curva de arboviroses</t>
        </is>
      </c>
      <c r="L6" s="2" t="inlineStr">
        <is>
          <t>zona epidêmica estatística — investigar, não declarar epidemia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3" customWidth="1" min="1" max="1"/>
    <col width="117" customWidth="1" min="2" max="2"/>
    <col width="55" customWidth="1" min="3" max="3"/>
    <col width="22" customWidth="1" min="4" max="4"/>
  </cols>
  <sheetData>
    <row r="1" ht="28" customHeight="1">
      <c r="A1" s="1" t="inlineStr">
        <is>
          <t>Regra</t>
        </is>
      </c>
      <c r="B1" s="1" t="inlineStr">
        <is>
          <t>Descricao</t>
        </is>
      </c>
      <c r="C1" s="1" t="inlineStr">
        <is>
          <t>Valor_Proposto</t>
        </is>
      </c>
      <c r="D1" s="1" t="inlineStr">
        <is>
          <t>Status_Homologacao</t>
        </is>
      </c>
    </row>
    <row r="2">
      <c r="A2" s="2" t="inlineStr">
        <is>
          <t>Marcador de alerta por agravo (hepatite B = anti-HBc IgM/HBsAg; dengue = NS1/PCR; TB = TRM-TB/BAAR)</t>
        </is>
      </c>
      <c r="B2" s="2" t="inlineStr">
        <is>
          <t>O canal deve ser calculado apenas sobre o marcador que define sinal agudo, nunca sobre positividade geral com IgG</t>
        </is>
      </c>
      <c r="C2" s="2" t="inlineStr">
        <is>
          <t>por agravo</t>
        </is>
      </c>
      <c r="D2" s="6" t="inlineStr">
        <is>
          <t>pendente</t>
        </is>
      </c>
    </row>
    <row r="3">
      <c r="A3" s="2" t="inlineStr">
        <is>
          <t>N mínimo de exames</t>
        </is>
      </c>
      <c r="B3" s="2" t="inlineStr">
        <is>
          <t>Evitar classificar zona epidêmica com volume insuficiente</t>
        </is>
      </c>
      <c r="C3" s="2" t="inlineStr">
        <is>
          <t>&gt;= 5 exames no marcador</t>
        </is>
      </c>
      <c r="D3" s="6" t="inlineStr">
        <is>
          <t>pendente</t>
        </is>
      </c>
    </row>
    <row r="4">
      <c r="A4" s="2" t="inlineStr">
        <is>
          <t>Percentis do canal</t>
        </is>
      </c>
      <c r="B4" s="2" t="inlineStr">
        <is>
          <t>Método de Bortman clássico</t>
        </is>
      </c>
      <c r="C4" s="2" t="inlineStr">
        <is>
          <t>P25/P50/P75</t>
        </is>
      </c>
      <c r="D4" s="6" t="inlineStr">
        <is>
          <t>pendente</t>
        </is>
      </c>
    </row>
    <row r="5">
      <c r="A5" s="2" t="inlineStr">
        <is>
          <t>Janela histórica</t>
        </is>
      </c>
      <c r="B5" s="2" t="inlineStr">
        <is>
          <t>Nº de anos de baseline</t>
        </is>
      </c>
      <c r="C5" s="2" t="inlineStr">
        <is>
          <t>5 anos (excluindo ano atual)</t>
        </is>
      </c>
      <c r="D5" s="6" t="inlineStr">
        <is>
          <t>pendente</t>
        </is>
      </c>
    </row>
    <row r="6">
      <c r="A6" s="2" t="inlineStr">
        <is>
          <t>Terminologia</t>
        </is>
      </c>
      <c r="B6" s="2" t="inlineStr">
        <is>
          <t>Evitar contradição com parecer "não declarar epidemia"</t>
        </is>
      </c>
      <c r="C6" s="2" t="inlineStr">
        <is>
          <t>"zona epidêmica (estatística)" em vez de "EPIDEMIA"</t>
        </is>
      </c>
      <c r="D6" s="6" t="inlineStr">
        <is>
          <t>pendente</t>
        </is>
      </c>
    </row>
    <row r="7">
      <c r="A7" s="2" t="inlineStr">
        <is>
          <t>Volume de exames ao lado</t>
        </is>
      </c>
      <c r="B7" s="2" t="inlineStr">
        <is>
          <t>Distinguir aumento de testagem de aumento de doença</t>
        </is>
      </c>
      <c r="C7" s="2" t="inlineStr">
        <is>
          <t>exibir Exames_Marcador junto à zona</t>
        </is>
      </c>
      <c r="D7" s="6" t="inlineStr">
        <is>
          <t>pendente</t>
        </is>
      </c>
    </row>
    <row r="8">
      <c r="A8" s="2" t="inlineStr">
        <is>
          <t>Tratamento de ausentes</t>
        </is>
      </c>
      <c r="B8" s="2" t="inlineStr">
        <is>
          <t>Dado ausente não vira zero</t>
        </is>
      </c>
      <c r="C8" s="2" t="inlineStr">
        <is>
          <t>NaN (não participa)</t>
        </is>
      </c>
      <c r="D8" s="6" t="inlineStr">
        <is>
          <t>pendente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15" customWidth="1" min="4" max="4"/>
    <col width="27" customWidth="1" min="5" max="5"/>
    <col width="15" customWidth="1" min="6" max="6"/>
    <col width="16" customWidth="1" min="7" max="7"/>
    <col width="22" customWidth="1" min="8" max="8"/>
    <col width="25" customWidth="1" min="9" max="9"/>
    <col width="286" customWidth="1" min="10" max="10"/>
  </cols>
  <sheetData>
    <row r="1" ht="28" customHeight="1">
      <c r="A1" s="1" t="inlineStr">
        <is>
          <t>Municipio</t>
        </is>
      </c>
      <c r="B1" s="1" t="inlineStr">
        <is>
          <t>Agravo</t>
        </is>
      </c>
      <c r="C1" s="1" t="inlineStr">
        <is>
          <t>Zona_Canal</t>
        </is>
      </c>
      <c r="D1" s="1" t="inlineStr">
        <is>
          <t>Excesso_Lab</t>
        </is>
      </c>
      <c r="E1" s="1" t="inlineStr">
        <is>
          <t>Pos_Marcador_Alerta_pct</t>
        </is>
      </c>
      <c r="F1" s="1" t="inlineStr">
        <is>
          <t>Pos_Anomala</t>
        </is>
      </c>
      <c r="G1" s="1" t="inlineStr">
        <is>
          <t>Lacuna_Sinan</t>
        </is>
      </c>
      <c r="H1" s="1" t="inlineStr">
        <is>
          <t>Internacoes_Graves</t>
        </is>
      </c>
      <c r="I1" s="1" t="inlineStr">
        <is>
          <t>N_Componentes_Validos</t>
        </is>
      </c>
      <c r="J1" s="1" t="inlineStr">
        <is>
          <t>Score_Prioridade</t>
        </is>
      </c>
    </row>
    <row r="2">
      <c r="A2" s="2" t="inlineStr">
        <is>
          <t>Juína</t>
        </is>
      </c>
      <c r="B2" s="2" t="inlineStr">
        <is>
          <t>hepatite B</t>
        </is>
      </c>
      <c r="C2" s="6" t="inlineStr">
        <is>
          <t>zona_epidemica_estatistica</t>
        </is>
      </c>
      <c r="D2" s="7" t="n">
        <v>1</v>
      </c>
      <c r="E2" s="8" t="n">
        <v>0.8571</v>
      </c>
      <c r="F2" s="7" t="n">
        <v>0.86</v>
      </c>
      <c r="G2" s="7" t="n">
        <v>0.75</v>
      </c>
      <c r="H2" s="7" t="n">
        <v>0.4</v>
      </c>
      <c r="I2" s="9">
        <f>COUNT(D2, F2:H2)</f>
        <v/>
      </c>
      <c r="J2" s="7">
        <f>IF((IF(ISNUMBER(D2),3,0)+IF(ISNUMBER(F2),2,0)+IF(ISNUMBER(G2),1,0)+IF(ISNUMBER(H2),1,0))&gt;0, (IF(ISNUMBER(D2),3*D2,0)+IF(ISNUMBER(F2),2*F2,0)+IF(ISNUMBER(G2),1*G2,0)+IF(ISNUMBER(H2),1*H2,0))/(IF(ISNUMBER(D2),3,0)+IF(ISNUMBER(F2),2,0)+IF(ISNUMBER(G2),1,0)+IF(ISNUMBER(H2),1,0)), "-")</f>
        <v/>
      </c>
    </row>
    <row r="3">
      <c r="A3" s="2" t="inlineStr">
        <is>
          <t>Cuiabá</t>
        </is>
      </c>
      <c r="B3" s="2" t="inlineStr">
        <is>
          <t>hepatite B</t>
        </is>
      </c>
      <c r="C3" s="6" t="inlineStr">
        <is>
          <t>zona_epidemica_estatistica</t>
        </is>
      </c>
      <c r="D3" s="7" t="n">
        <v>1</v>
      </c>
      <c r="E3" s="8" t="n">
        <v>0.3231</v>
      </c>
      <c r="F3" s="7" t="n">
        <v>0.32</v>
      </c>
      <c r="G3" s="7" t="n">
        <v>0.6</v>
      </c>
      <c r="H3" s="7" t="n">
        <v>0.7</v>
      </c>
      <c r="I3" s="9">
        <f>COUNT(D3, F3:H3)</f>
        <v/>
      </c>
      <c r="J3" s="7">
        <f>IF((IF(ISNUMBER(D3),3,0)+IF(ISNUMBER(F3),2,0)+IF(ISNUMBER(G3),1,0)+IF(ISNUMBER(H3),1,0))&gt;0, (IF(ISNUMBER(D3),3*D3,0)+IF(ISNUMBER(F3),2*F3,0)+IF(ISNUMBER(G3),1*G3,0)+IF(ISNUMBER(H3),1*H3,0))/(IF(ISNUMBER(D3),3,0)+IF(ISNUMBER(F3),2,0)+IF(ISNUMBER(G3),1,0)+IF(ISNUMBER(H3),1,0)), "-")</f>
        <v/>
      </c>
    </row>
    <row r="4">
      <c r="A4" s="2" t="inlineStr">
        <is>
          <t>Sorriso</t>
        </is>
      </c>
      <c r="B4" s="2" t="inlineStr">
        <is>
          <t>hepatite B</t>
        </is>
      </c>
      <c r="C4" s="6" t="inlineStr">
        <is>
          <t>zona_epidemica_estatistica</t>
        </is>
      </c>
      <c r="D4" s="7" t="n">
        <v>1</v>
      </c>
      <c r="E4" s="8" t="n">
        <v>0.3714</v>
      </c>
      <c r="F4" s="7" t="n">
        <v>0.37</v>
      </c>
      <c r="G4" s="7" t="n">
        <v>0.5</v>
      </c>
      <c r="H4" s="7" t="n">
        <v>0.3</v>
      </c>
      <c r="I4" s="9">
        <f>COUNT(D4, F4:H4)</f>
        <v/>
      </c>
      <c r="J4" s="7">
        <f>IF((IF(ISNUMBER(D4),3,0)+IF(ISNUMBER(F4),2,0)+IF(ISNUMBER(G4),1,0)+IF(ISNUMBER(H4),1,0))&gt;0, (IF(ISNUMBER(D4),3*D4,0)+IF(ISNUMBER(F4),2*F4,0)+IF(ISNUMBER(G4),1*G4,0)+IF(ISNUMBER(H4),1*H4,0))/(IF(ISNUMBER(D4),3,0)+IF(ISNUMBER(F4),2,0)+IF(ISNUMBER(G4),1,0)+IF(ISNUMBER(H4),1,0)), "-")</f>
        <v/>
      </c>
    </row>
    <row r="5">
      <c r="A5" s="2" t="inlineStr">
        <is>
          <t>Colíder</t>
        </is>
      </c>
      <c r="B5" s="2" t="inlineStr">
        <is>
          <t>hepatite B</t>
        </is>
      </c>
      <c r="C5" s="6" t="inlineStr">
        <is>
          <t>zona_epidemica_estatistica</t>
        </is>
      </c>
      <c r="D5" s="7" t="n">
        <v>1</v>
      </c>
      <c r="E5" s="8" t="n">
        <v>0.3333</v>
      </c>
      <c r="F5" s="7" t="n">
        <v>0.33</v>
      </c>
      <c r="G5" s="7" t="n">
        <v>0.4</v>
      </c>
      <c r="H5" s="7" t="n">
        <v>0.2</v>
      </c>
      <c r="I5" s="9">
        <f>COUNT(D5, F5:H5)</f>
        <v/>
      </c>
      <c r="J5" s="7">
        <f>IF((IF(ISNUMBER(D5),3,0)+IF(ISNUMBER(F5),2,0)+IF(ISNUMBER(G5),1,0)+IF(ISNUMBER(H5),1,0))&gt;0, (IF(ISNUMBER(D5),3*D5,0)+IF(ISNUMBER(F5),2*F5,0)+IF(ISNUMBER(G5),1*G5,0)+IF(ISNUMBER(H5),1*H5,0))/(IF(ISNUMBER(D5),3,0)+IF(ISNUMBER(F5),2,0)+IF(ISNUMBER(G5),1,0)+IF(ISNUMBER(H5),1,0)), "-")</f>
        <v/>
      </c>
    </row>
    <row r="6">
      <c r="A6" s="2" t="inlineStr">
        <is>
          <t>Várzea Grande</t>
        </is>
      </c>
      <c r="B6" s="2" t="inlineStr">
        <is>
          <t>dengue</t>
        </is>
      </c>
      <c r="C6" s="6" t="inlineStr">
        <is>
          <t>zona_epidemica_estatistica</t>
        </is>
      </c>
      <c r="D6" s="7" t="n">
        <v>1</v>
      </c>
      <c r="E6" s="8" t="n">
        <v>0.2</v>
      </c>
      <c r="F6" s="7" t="n">
        <v>0.2</v>
      </c>
      <c r="G6" s="7" t="n">
        <v>0.5</v>
      </c>
      <c r="H6" s="7" t="n">
        <v>0.35</v>
      </c>
      <c r="I6" s="9">
        <f>COUNT(D6, F6:H6)</f>
        <v/>
      </c>
      <c r="J6" s="7">
        <f>IF((IF(ISNUMBER(D6),3,0)+IF(ISNUMBER(F6),2,0)+IF(ISNUMBER(G6),1,0)+IF(ISNUMBER(H6),1,0))&gt;0, (IF(ISNUMBER(D6),3*D6,0)+IF(ISNUMBER(F6),2*F6,0)+IF(ISNUMBER(G6),1*G6,0)+IF(ISNUMBER(H6),1*H6,0))/(IF(ISNUMBER(D6),3,0)+IF(ISNUMBER(F6),2,0)+IF(ISNUMBER(G6),1,0)+IF(ISNUMBER(H6),1,0)), "-")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22" customWidth="1" min="3" max="3"/>
  </cols>
  <sheetData>
    <row r="1" ht="28" customHeight="1">
      <c r="A1" s="1" t="inlineStr">
        <is>
          <t>Campo</t>
        </is>
      </c>
      <c r="B1" s="1" t="inlineStr">
        <is>
          <t>Valor</t>
        </is>
      </c>
      <c r="C1" s="1" t="inlineStr">
        <is>
          <t>Interpretacao</t>
        </is>
      </c>
    </row>
    <row r="2">
      <c r="A2" s="10" t="inlineStr">
        <is>
          <t>Zona_Canal</t>
        </is>
      </c>
      <c r="B2" s="2" t="inlineStr">
        <is>
          <t>zona_epidemica_estatistica</t>
        </is>
      </c>
      <c r="C2" s="2" t="inlineStr">
        <is>
          <t>Classificação estatística do canal endêmico (método de Bortman P75)</t>
        </is>
      </c>
    </row>
    <row r="3">
      <c r="A3" s="10" t="inlineStr">
        <is>
          <t>Exames_Marcador</t>
        </is>
      </c>
      <c r="B3" s="3" t="n">
        <v>28</v>
      </c>
      <c r="C3" s="2" t="inlineStr">
        <is>
          <t>Volume de exames processados no marcador de alerta agudo (anti-HBc IgM)</t>
        </is>
      </c>
    </row>
    <row r="4">
      <c r="A4" s="10" t="inlineStr">
        <is>
          <t>Positivos_IgM</t>
        </is>
      </c>
      <c r="B4" s="3" t="n">
        <v>3</v>
      </c>
      <c r="C4" s="2" t="inlineStr">
        <is>
          <t>Número de exames positivos/reagentes no marcador de alerta (anti-HBc IgM)</t>
        </is>
      </c>
    </row>
    <row r="5">
      <c r="A5" s="10" t="inlineStr">
        <is>
          <t>Mediana_Historica</t>
        </is>
      </c>
      <c r="B5" s="4" t="n">
        <v>4</v>
      </c>
      <c r="C5" s="2" t="inlineStr">
        <is>
          <t>Mediana histórica da SE 30 nos 5 anos anteriores</t>
        </is>
      </c>
    </row>
    <row r="6">
      <c r="A6" s="10" t="inlineStr">
        <is>
          <t>Limite_Superior</t>
        </is>
      </c>
      <c r="B6" s="4" t="n">
        <v>10</v>
      </c>
      <c r="C6" s="2" t="inlineStr">
        <is>
          <t>Limite superior (P75) da série histórica de 5 anos</t>
        </is>
      </c>
    </row>
    <row r="7">
      <c r="A7" s="10" t="inlineStr">
        <is>
          <t>Multiplo_Mediana</t>
        </is>
      </c>
      <c r="B7" s="5">
        <f>IFERROR(B4/B5, "-")</f>
        <v/>
      </c>
      <c r="C7" s="2" t="inlineStr">
        <is>
          <t>Razão entre positivos observados no marcador e a mediana histórica</t>
        </is>
      </c>
    </row>
    <row r="8">
      <c r="A8" s="10" t="inlineStr">
        <is>
          <t>N_Minimo_Atendido</t>
        </is>
      </c>
      <c r="B8" s="6">
        <f>IF(B3&gt;=5, "SIM", "NAO")</f>
        <v/>
      </c>
      <c r="C8" s="2" t="inlineStr">
        <is>
          <t>Volume amostral suficiente para cálculo do canal (&gt;= 5 exames)</t>
        </is>
      </c>
    </row>
    <row r="9">
      <c r="A9" s="10" t="inlineStr">
        <is>
          <t>Excesso_Lab</t>
        </is>
      </c>
      <c r="B9" s="7" t="n">
        <v>1</v>
      </c>
      <c r="C9" s="2" t="inlineStr">
        <is>
          <t>Componente de excesso laboratorial no score integrado (zona epidêmica estatística = 1.0)</t>
        </is>
      </c>
    </row>
    <row r="10">
      <c r="A10" s="10" t="inlineStr">
        <is>
          <t>Score_Antes</t>
        </is>
      </c>
      <c r="B10" s="7" t="n">
        <v>1.5666</v>
      </c>
      <c r="C10" s="2" t="inlineStr">
        <is>
          <t>Score anterior distorcido: cálculo sobre IgG gerava subpriorização e desconexão com o parecer</t>
        </is>
      </c>
    </row>
    <row r="11">
      <c r="A11" s="10" t="inlineStr">
        <is>
          <t>Score_Depois</t>
        </is>
      </c>
      <c r="B11" s="7">
        <f>Score_Prioridade!J2</f>
        <v/>
      </c>
      <c r="C11" s="2" t="inlineStr">
        <is>
          <t>Score integrado corrigido: canal focado no marcador de alerta com pesos normalizados</t>
        </is>
      </c>
    </row>
    <row r="12">
      <c r="A12" s="10" t="inlineStr">
        <is>
          <t>Conclusao</t>
        </is>
      </c>
      <c r="B12" s="2" t="inlineStr">
        <is>
          <t>Prioridade Alta Confirmada</t>
        </is>
      </c>
      <c r="C12" s="2" t="inlineStr">
        <is>
          <t>O canal calculado sobre o marcador de alerta agudo (anti-HBc IgM) combinado ao score integrado ponderado corrige a subpriorização de Juína, garantindo alinhamento técnico entre o Radar LACEN e o parecer epidemiológico.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75" customWidth="1" min="2" max="2"/>
  </cols>
  <sheetData>
    <row r="1" ht="28" customHeight="1">
      <c r="A1" s="1" t="inlineStr">
        <is>
          <t>Campo</t>
        </is>
      </c>
      <c r="B1" s="1" t="inlineStr">
        <is>
          <t>Descricao</t>
        </is>
      </c>
    </row>
    <row r="2">
      <c r="A2" s="10" t="inlineStr">
        <is>
          <t>Finalidade do Arquivo</t>
        </is>
      </c>
      <c r="B2" s="2" t="inlineStr">
        <is>
          <t>Instrumento de homologação do canal endêmico (método de Bortman) e do score de prioridade integrado para o Radar LACEN · CIEVS-MT.</t>
        </is>
      </c>
    </row>
    <row r="3">
      <c r="A3" s="10" t="inlineStr">
        <is>
          <t>Correção 1: Marcador de Alerta</t>
        </is>
      </c>
      <c r="B3" s="2" t="inlineStr">
        <is>
          <t>O canal endêmico é calculado estritamente sobre o marcador biológico de sinal agudo (ex.: anti-HBc IgM para hepatite B; NS1/RT-PCR para dengue; TRM-TB/BAAR para tuberculose), eliminando a distorção causada pela inclusão de anticorpos de memória/cicatriz sorológica (IgG).</t>
        </is>
      </c>
    </row>
    <row r="4">
      <c r="A4" s="10" t="inlineStr">
        <is>
          <t>Correção 2: N Mínimo de Exames</t>
        </is>
      </c>
      <c r="B4" s="2" t="inlineStr">
        <is>
          <t>Exigência de volume amostral mínimo (N &gt;= 5 exames no marcador) antes de classificar um município em zona epidêmica estatística, evitando falsos alarmes em municípios com baixa testagem.</t>
        </is>
      </c>
    </row>
    <row r="5">
      <c r="A5" s="10" t="inlineStr">
        <is>
          <t>Correção 3: Volume de Exames Exibido</t>
        </is>
      </c>
      <c r="B5" s="2" t="inlineStr">
        <is>
          <t>Apresentação obrigatória da coluna Exames_Marcador ao lado do canal endêmico, permitindo diferenciar surtos reais de aumento decorrente de campanhas de triagem ou intensificação de busca ativa.</t>
        </is>
      </c>
    </row>
    <row r="6">
      <c r="A6" s="10" t="inlineStr">
        <is>
          <t>Correção 4: Terminologia Técnica</t>
        </is>
      </c>
      <c r="B6" s="2" t="inlineStr">
        <is>
          <t>Substituição do termo 'EPIDEMIA' por 'zona epidêmica (estatística)', assegurando conformidade epidemiológica e evitando contradição com pareceres que recomendam investigação prévia antes de declaração formal de epidemia.</t>
        </is>
      </c>
    </row>
    <row r="7">
      <c r="A7" s="10" t="inlineStr">
        <is>
          <t>Correção 5: Tratamento de Dados Ausentes</t>
        </is>
      </c>
      <c r="B7" s="2" t="inlineStr">
        <is>
          <t>Valores ausentes não são convertidos em zero (NaN / desconsiderados no denominador do score), impedindo a penalização indevida de municípios com dados faltantes em bases secundárias (SINAN, SIM/SIH).</t>
        </is>
      </c>
    </row>
    <row r="8">
      <c r="A8" s="10" t="inlineStr">
        <is>
          <t>Correção 6: Score Integrado Vinculado</t>
        </is>
      </c>
      <c r="B8" s="2" t="inlineStr">
        <is>
          <t>Score de prioridade calculado com pesos ponderados (3× Excesso_Lab + 2× Pos_Marcador + 1× Lacuna_Sinan + 1× Internações), normalizado pelos componentes válidos, corrigindo a subpriorização histórica observada em Juína.</t>
        </is>
      </c>
    </row>
    <row r="9">
      <c r="A9" s="10" t="inlineStr">
        <is>
          <t>Fonte de Dados</t>
        </is>
      </c>
      <c r="B9" s="2" t="inlineStr">
        <is>
          <t>DW · VW_GAL (Laboratório Central do Estado de Mato Grosso - LACEN-MT) + saida_pipeline (Radar LACEN · CIEVS-MT).</t>
        </is>
      </c>
    </row>
    <row r="10">
      <c r="A10" s="10" t="inlineStr">
        <is>
          <t>Instrução de Homologação</t>
        </is>
      </c>
      <c r="B10" s="2" t="inlineStr">
        <is>
          <t>Os dados apresentados na SE 30/2026 contêm valores de exemplo baseados nos relatórios preliminares. Após validação pelo colegiado técnico, os parâmetros devem ser integrados à rotina automatizada do DW/PowerBI.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2026-08-31T14:42:54Z</dcterms:created>
  <dcterms:modified xsi:type="dcterms:W3CDTF">2026-08-31T14:42:54Z</dcterms:modified>
</cp:coreProperties>
</file>