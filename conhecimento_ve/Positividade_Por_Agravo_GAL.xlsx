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/>
  <xr:revisionPtr revIDLastSave="0" documentId="8_{91F87E39-16FD-496F-B5E8-DE1B86A8A36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sitividade_SE30" sheetId="1" r:id="rId1"/>
    <sheet name="Regras_Por_Agravo" sheetId="2" r:id="rId2"/>
    <sheet name="Veredito_Cascata" sheetId="3" r:id="rId3"/>
    <sheet name="Exemplo_Juina" sheetId="4" r:id="rId4"/>
    <sheet name="Metadado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J7" i="1"/>
  <c r="G7" i="1"/>
  <c r="D7" i="1"/>
  <c r="J6" i="1"/>
  <c r="G6" i="1"/>
  <c r="D6" i="1"/>
  <c r="J5" i="1"/>
  <c r="G5" i="1"/>
  <c r="D5" i="1"/>
  <c r="J4" i="1"/>
  <c r="G4" i="1"/>
  <c r="D4" i="1"/>
  <c r="J3" i="1"/>
  <c r="G3" i="1"/>
  <c r="D3" i="1"/>
  <c r="J2" i="1"/>
  <c r="G2" i="1"/>
  <c r="D2" i="1"/>
</calcChain>
</file>

<file path=xl/sharedStrings.xml><?xml version="1.0" encoding="utf-8"?>
<sst xmlns="http://schemas.openxmlformats.org/spreadsheetml/2006/main" count="169" uniqueCount="147">
  <si>
    <t>Agravo</t>
  </si>
  <si>
    <t>Exames_Total</t>
  </si>
  <si>
    <t>Positivos_Brutos</t>
  </si>
  <si>
    <t>Positividade_Bruta_pct</t>
  </si>
  <si>
    <t>Pacientes_Unicos</t>
  </si>
  <si>
    <t>Positivos_Deduplicados</t>
  </si>
  <si>
    <t>Positividade_Deduplicada_pct</t>
  </si>
  <si>
    <t>Marcador_Alerta</t>
  </si>
  <si>
    <t>Positivos_Marcador_Alerta</t>
  </si>
  <si>
    <t>Positividade_Marcador_Alerta_pct</t>
  </si>
  <si>
    <t>Completude_pct</t>
  </si>
  <si>
    <t>Zona_Canal_Endemico</t>
  </si>
  <si>
    <t>Nivel_Veredito</t>
  </si>
  <si>
    <t>Interpretacao</t>
  </si>
  <si>
    <t>Dengue</t>
  </si>
  <si>
    <t>NS1 / RT-PCR (Agudo ≤5d)</t>
  </si>
  <si>
    <t>seguranca</t>
  </si>
  <si>
    <t>Sem_Sinal</t>
  </si>
  <si>
    <t>FATO: 3 positivos brutos em 2.130 exames (0,14% bruta). DEDUPLICAÇÃO: 1.985 pacientes únicos, 3 positivos. MARCADOR: 2 positivos NS1/PCR (0,10% alerta). INFERÊNCIA: Baixíssima transmissão viral ativa na SE 30 (período interepidêmico). HIPÓTESE: Sinal laboratorial negativo/silencioso sem alerta.</t>
  </si>
  <si>
    <t>Tuberculose</t>
  </si>
  <si>
    <t>TRM-TB / BAAR (Diagnóstico)</t>
  </si>
  <si>
    <t>FATO: 25 positivos brutos em 222 exames (11,26% bruta). DEDUPLICAÇÃO: 185 pacientes únicos, 21 positivos (11,35%). MARCADOR: TRM-TB/BAAR confirmatórios de bacilíferos. INFERÊNCIA: Positividade esperada e estável para busca de sintomáticos respiratórios. HIPÓTESE: Padrão endêmico sob controle na SE 30.</t>
  </si>
  <si>
    <t>Hepatite B</t>
  </si>
  <si>
    <t>anti-HBc IgM (Agudo)</t>
  </si>
  <si>
    <t>alerta</t>
  </si>
  <si>
    <t>Nivel1_Laboratorial</t>
  </si>
  <si>
    <t>FATO: 101 positivos brutos em 155 exames (65,16% bruta — inflada por triagem crônica HBsAg/anti-HBc total). DEDUPLICAÇÃO: 124 pacientes. MARCADOR AGUDO: 4 positivos anti-HBc IgM (3,23% alerta). INFERÊNCIA: Grande volume de infecção crônica/passada com pequeno cluster agudo a investigar. HIPÓTESE: Investigar se há surto agudo localizado (ex: Juína).</t>
  </si>
  <si>
    <t>Chikungunya</t>
  </si>
  <si>
    <t>RT-PCR (≤8d) / IgM (&gt;8d)</t>
  </si>
  <si>
    <t>sucesso</t>
  </si>
  <si>
    <t>FATO: Zero positivos em 116 exames na SE 30 (0,00%). DEDUPLICAÇÃO: 110 pacientes únicos. MARCADOR: Nenhum RT-PCR ou IgM reagente. INFERÊNCIA: Ausência de circulação detectável na rede LACEN nesta SE. HIPÓTESE: Silêncio epidemiológico consistente com período seco.</t>
  </si>
  <si>
    <t>COVID-19</t>
  </si>
  <si>
    <t>RT-PCR / TR-Antígeno</t>
  </si>
  <si>
    <t>FATO: Zero positivos em 39 exames (0,00%). DEDUPLICAÇÃO: 37 pacientes únicos. MARCADOR: RT-PCR/antígeno zerados. INFERÊNCIA: Baixa amostragem na rede GAL nesta SE, positividade nula nos testados. HIPÓTESE: Sem pressão assistencial respiratória por SARS-CoV-2.</t>
  </si>
  <si>
    <t>Meningite</t>
  </si>
  <si>
    <t>PCR / Cultura LCR (Específico)</t>
  </si>
  <si>
    <t>FATO: 2 positivos em 31 exames de líquor (6,45% bruta). DEDUPLICAÇÃO: 29 pacientes únicos (2 casos confirmados). MARCADOR: PCR/cultura positivos para patógeno bacteriano/viral. INFERÊNCIA: Casos esporádicos esperados sem agregação espacial/temporal. HIPÓTESE: Vigilância padrão sem sinal de surto.</t>
  </si>
  <si>
    <t>Marcadores_Contexto</t>
  </si>
  <si>
    <t>Janela_Diagnostica</t>
  </si>
  <si>
    <t>Denominador_Recomendado</t>
  </si>
  <si>
    <t>Completude_Minima_pct</t>
  </si>
  <si>
    <t>Limiar_Canal_Endemico</t>
  </si>
  <si>
    <t>Fonte_Dados</t>
  </si>
  <si>
    <t>NS1 / RT-PCR</t>
  </si>
  <si>
    <t>Sorologia IgM (fase de convalescença &gt;5º dia); IgG (infecção prévia/secundária); Testes Rápidos Imunocromatográficos</t>
  </si>
  <si>
    <t>NS1 e RT-PCR: 1º ao 5º dia de início dos sintomas (fase virêmica). IgM: a partir do 6º dia.</t>
  </si>
  <si>
    <t>Pacientes únicos (deduplicados por CPF/Nome-Mãe-DN) com sintomas agudos</t>
  </si>
  <si>
    <t>Positividade &gt; Limiar Superior (P75/IC95%) do Canal Endêmico Histórico (mediana 5 anos da mesma SE)</t>
  </si>
  <si>
    <t>GAL/LACEN-MT (laboratorial) e SINAN Online Dengue (epidemiológico)</t>
  </si>
  <si>
    <t>TRM-TB (Molecular) / BAAR (Baciloscopia)</t>
  </si>
  <si>
    <t>Cultura para Micobactérias (padrão-ouro confirmatório); TSA (Teste de Sensibilidade a Antimicrobianos / Resistência a Rifampicina)</t>
  </si>
  <si>
    <t>Amostras respiratórias (escarro matinal/induzido) colhidas a qualquer momento em sintomáticos respiratórios (tosse ≥3 semanas).</t>
  </si>
  <si>
    <t>Pacientes únicos (deduplicação estrita: múltiplos exames/amostras do mesmo paciente na investigação)</t>
  </si>
  <si>
    <t>Positividade &gt; P75 da série histórica móvel da mesma SE ou aumento súbito de resistência a rifampicina</t>
  </si>
  <si>
    <t>GAL/LACEN-MT (laboratorial) e SINAN Tuberculose (clínico/notificação)</t>
  </si>
  <si>
    <t>anti-HBc IgM (Marcador de Infecção Aguda)</t>
  </si>
  <si>
    <t>HBsAg (antígeno de superfície: infecção ativa aguda ou crônica); anti-HBc Total (contato prévio/cicatriz/crônica); anti-HBs (imunidade/cura/vacina); HBeAg/anti-HBe (replicação viral); Carga Viral HBV-DNA</t>
  </si>
  <si>
    <t>anti-HBc IgM surge nas primeiras semanas e persiste por 4 a 6 meses. HBsAg detectável de 1 a 10 semanas pós-infecção.</t>
  </si>
  <si>
    <t>Pacientes únicos deduplicados por CPF. CRÍTICO: Não usar total de exames/testes rápidos brutos como denominador de agudos.</t>
  </si>
  <si>
    <t>Positividade de anti-HBc IgM &gt; P75 histórico (detecta surto agudo de transmissão recente, separando de triagens crônicas)</t>
  </si>
  <si>
    <t>GAL/LACEN-MT (painel sorológico/molecular) e SINAN Hepatites Virais</t>
  </si>
  <si>
    <t>RT-PCR (Agudo) / Sorologia IgM</t>
  </si>
  <si>
    <t>Sorologia IgG (exposição pretérita); Testes rápidos imunocromatográficos</t>
  </si>
  <si>
    <t>RT-PCR: 1º ao 8º dia de sintomas. Sorologia IgM: a partir do 8º dia de início do quadro febril/artrálgico.</t>
  </si>
  <si>
    <t>Pacientes únicos com suspeita clínica na SE correspondente</t>
  </si>
  <si>
    <t>Positividade de RT-PCR/IgM &gt; Limiar Superior do Canal Endêmico ou primeiro caso autóctone em município silencioso</t>
  </si>
  <si>
    <t>GAL/LACEN-MT (laboratorial) e SINAN Chikungunya</t>
  </si>
  <si>
    <t>RT-PCR / Teste Rápido Antígeno (Ag)</t>
  </si>
  <si>
    <t>Sorologia IgG/IgM (apenas estudos sorológicos/inquéritos); Sequenciamento Genômico de Variantes (VOCs)</t>
  </si>
  <si>
    <t>RT-PCR: 3º ao 7º dia do início dos sintomas. Teste Rápido de Antígeno: 1º ao 7º dia em sintomáticos.</t>
  </si>
  <si>
    <t>Pacientes únicos sintomáticos testados na SE de coleta</t>
  </si>
  <si>
    <t>Positividade &gt; 10% (Alerta OMS) ou &gt; P75 do Canal Endêmico para vírus respiratórios (painel respiratório ampliado)</t>
  </si>
  <si>
    <t>GAL/LACEN-MT, e-SUS Notifica e SIVEP-Gripe (SRAG hospitalizado)</t>
  </si>
  <si>
    <t>RT-PCR Líquor / Cultura de LCR</t>
  </si>
  <si>
    <t>Bacterioscopia direta (Gram de LCR); Aglutinação pelo Látex; Sorologia pareada; Citoquímica do LCR</t>
  </si>
  <si>
    <t>Coleta de líquor imediata à suspeita clínica, preferencialmente prévia ao início da antibioticoterapia hospitalar.</t>
  </si>
  <si>
    <t>Pacientes únicos com coleta de LCR (1 paciente = 1 episódio suspeito)</t>
  </si>
  <si>
    <t>Identificação de 1 único caso de Meningite Meningocócica (evento de bloqueio imediato) ou taxa de positividade &gt; P75</t>
  </si>
  <si>
    <t>GAL/LACEN-MT (laboratório) e SINAN Meningites / FormSUS de Notificação Imediata</t>
  </si>
  <si>
    <t>Nivel</t>
  </si>
  <si>
    <t>Nome</t>
  </si>
  <si>
    <t>Criterio</t>
  </si>
  <si>
    <t>Acao</t>
  </si>
  <si>
    <t>Responsavel</t>
  </si>
  <si>
    <t>Exemplo</t>
  </si>
  <si>
    <t>Nivel 1</t>
  </si>
  <si>
    <t>Laboratorial</t>
  </si>
  <si>
    <t>Positividade no Marcador de Alerta &gt; Limiar do Canal Endêmico (P75/IC95%) com Completude do Denominador ≥ 90% e deduplicação por paciente único validada no GAL.</t>
  </si>
  <si>
    <t>Disparar alerta técnico interno de monitoramento; verificar consistência laboratorial, lotes de reagentes, duplicidades de cadastro e distribuição espacial das coletas.</t>
  </si>
  <si>
    <t>Equipe Técnica do Radar LACEN / Área Laboratorial CIEVS-MT</t>
  </si>
  <si>
    <t>Exemplo SE 30/2026: Juína registra aumento repentino de 46 exames de Hepatite B com 4 amostras anti-HBc IgM reagentes (alerta agudo), ultrapassando a média histórica municipal.</t>
  </si>
  <si>
    <t>Nivel 2</t>
  </si>
  <si>
    <t>Epidemiologico</t>
  </si>
  <si>
    <t>Sinal de Nível 1 corroborado por correlação epidemiológica: aumento de notificações no SINAN, identificação de cluster espacial/temporal, vínculo epidemiológico comum ou aumento de internações/atendimentos em UPA.</t>
  </si>
  <si>
    <t>Acionar vigilância epidemiológica municipal/regional; iniciar busca ativa institucional e comunitária; cruzar bancos GAL x SINAN x SIVEP; solicitar envio de amostras complementares ao LACEN.</t>
  </si>
  <si>
    <t>CIEVS Estadual · Vigilância Epidemiológica SES-MT · Escritório Regional de Saúde</t>
  </si>
  <si>
    <t>Exemplo SE 30/2026: Cruzamento em Juína revela que os 4 casos de anti-HBc IgM positivos pertencem a uma mesma unidade prisional / serviço de saúde sem notificação prévia no SINAN.</t>
  </si>
  <si>
    <t>Nivel 3</t>
  </si>
  <si>
    <t>Evento</t>
  </si>
  <si>
    <t>Sinal de Nível 2 confirmado por investigação de campo, com cadeia de transmissão ativa identificada, marcador de alerta confirmatório e caracterização de surto/epidemia ou emergência de saúde pública.</t>
  </si>
  <si>
    <t>Declaração formal de Surto/Evento de Saúde Pública; mobilização de equipe de resposta rápida de campo; bloqueio vacinal/quimioprofilaxia; emissão de Nota de Alerta Estadual e medidas de controle sanitário.</t>
  </si>
  <si>
    <t>Gestão SES-MT / Coordenadoria CIEVS-MT / Secretarias Municipais de Saúde afetadas</t>
  </si>
  <si>
    <t>Exemplo SE 30/2026: Confirmação de surto localizado de transmissão parenteral/sexual em Juína: envio imediato de equipe de resposta rápida, vacinação de bloqueio e testagem rápida em massa.</t>
  </si>
  <si>
    <t>Campo</t>
  </si>
  <si>
    <t>Valor</t>
  </si>
  <si>
    <t>FATO: Volume total de exames para Hepatite B processados pelo LACEN para o município de Juína na SE 30/2026.</t>
  </si>
  <si>
    <t>Variacao_vs_SE_ant</t>
  </si>
  <si>
    <t>+24 (+109.1%)</t>
  </si>
  <si>
    <t>FATO: Aumento abrupto de +109% no volume de coletas em relação à SE 29 (que registrou 22 exames). Indica intensificação de triagem ou investigação ativa.</t>
  </si>
  <si>
    <t>Positivos_Brutos_Juina</t>
  </si>
  <si>
    <t>FATO BRUTO: 32 laudos com resultado reagente em algum marcador (HBsAg ou anti-HBc total). Equivale a 69,6% de positividade aparente nos exames.</t>
  </si>
  <si>
    <t>DEDUPLICAÇÃO: 42 pacientes distintos após limpeza por CPF. Vários pacientes realizaram múltiplos marcadores (HBsAg + anti-HBc total + anti-HBc IgM).</t>
  </si>
  <si>
    <t>Positivos_HBsAg</t>
  </si>
  <si>
    <t>MARCADOR CRÔNICO/ATIVO: 30 pacientes positivos para HBsAg. Indica presença de antígeno de superfície (infecção crônica na vasta maioria dos casos).</t>
  </si>
  <si>
    <t>Positivos_antiHBc_total</t>
  </si>
  <si>
    <t>MARCADOR CICATRIZ/CONTATO: 31 pacientes reagentes para anti-HBc total, confirmando exposição prévia/histórica ao vírus da Hepatite B.</t>
  </si>
  <si>
    <t>Positivos_antiHBc_IgM</t>
  </si>
  <si>
    <t>MARCADOR DE ALERTA AGUDO: Apenas 2 pacientes reagentes para anti-HBc IgM. Este é o único marcador que indica infecção aguda/recente na janela atual.</t>
  </si>
  <si>
    <t>Positividade_IgM_pct</t>
  </si>
  <si>
    <t>FÓRMULA DE INTERPRETAÇÃO CORRETA: Positividade de Marcador de Alerta = Positivos_antiHBc_IgM (2) / Pacientes_Unicos (42) = 4,76%. Corrige a falsa impressão de 'surto de 69,6%'.</t>
  </si>
  <si>
    <t>Completude</t>
  </si>
  <si>
    <t>QUALIDADE DO DADO: 95,6% dos exames da SE 30 de Juína com laudo emitido/concluído no GAL. Supera a completude mínima de 90%, validando o denominador.</t>
  </si>
  <si>
    <t>Alerta</t>
  </si>
  <si>
    <t>CANAL ENDÊMICO: A ocorrência de 2 casos agudos (anti-HBc IgM+) em uma única SE em Juína supera o percentil 75 histórico municipal (limiar = 0 a 1 caso/SE).</t>
  </si>
  <si>
    <t>VEREDITO EM CASCATA: Classificado como Nível 1 (Alerta Laboratorial). Requer validação epidemiológica com a vigilância de Juína antes de declarar surto.</t>
  </si>
  <si>
    <t>Reavaliacao</t>
  </si>
  <si>
    <t>48-72h</t>
  </si>
  <si>
    <t>GOVERNANÇA: Prazo operacional para reavaliação conjunta LACEN/CIEVS com dados do SINAN e investigação da unidade solicitante.</t>
  </si>
  <si>
    <t>Descricao</t>
  </si>
  <si>
    <t>Nome do Modelo</t>
  </si>
  <si>
    <t>Modelo de Interpretação Correta da Positividade Laboratorial do GAL (Radar LACEN · CIEVS-MT)</t>
  </si>
  <si>
    <t>Finalidade</t>
  </si>
  <si>
    <t>Estabelecer uma metodologia robusta, padronizada e cientificamente embasada para cálculo e interpretação da taxa de positividade laboratorial do GAL/LACEN-MT, eliminando distorções de supernotificação por múltiplos marcadores crônicos e falsos alertas.</t>
  </si>
  <si>
    <t>As 6 Camadas da Solução</t>
  </si>
  <si>
    <t>1. Pergunta Diagnóstica por Marcador: Seleção estrita do marcador biológico agudo para cada agravo (ex: anti-HBc IgM para hepatite B; NS1/PCR para dengue; TRM-TB/BAAR para tuberculose).
2. Deduplicação por Paciente: Uso do CPF (ou chave canônica Nome-Mãe-Data Nasc) para consolidar múltiplos exames do mesmo indivíduo em um único registro no denominador.
3. Completude do Denominador: Estabelecimento do limiar mínimo de 90% de laudos concluídos antes de consolidar a taxa de positividade da SE, evitando viés de resultados preliminares.
4. Canal Endêmico Histórico: Comparação da taxa de positividade contra a série histórica móvel de 5 anos da mesma semana epidemiológica (P25=Sucesso, P50=Segurança, P75=Alerta, &gt;P75=Epidemia).
5. Veredito em Cascata: Tomada de decisão escalonada em 3 níveis (Nível 1: Alerta Laboratorial; Nível 2: Corroboração Epidemiológica; Nível 3: Declaração de Evento de Saúde Pública).
6. Governança e Notas Técnicas: Formalização de notas técnicas de definição de caso laboratorial, prazos de reavaliação (48-72h) e atribuições de responsabilidade entre LACEN e CIEVS.</t>
  </si>
  <si>
    <t>Regra de Dados Ausentes</t>
  </si>
  <si>
    <t>Resultados pendentes, em análise ou campos nulos NUNCA devem ser convertidos para zero. Devem ser tratados explicitamente como 'Pendente' / 'Sem Dado' para não enviesar os cálculos estatísticos e de completude.</t>
  </si>
  <si>
    <t>Regra de Completude Mínima</t>
  </si>
  <si>
    <t>Para cálculo oficial da positividade da Semana Epidemiológica, a completude do agravo deve ser ≥ 90,0%. Semanas com completude inferior devem ser sinalizadas como 'Dado Preliminar / Em Processamento'.</t>
  </si>
  <si>
    <t>Níveis do Veredito em Cascata</t>
  </si>
  <si>
    <t>• Nível 1 - Laboratorial: Sinal estritamente laboratorial (positividade do marcador agudo &gt; limiar do canal endêmico). Ação: Investigação técnica interna.
• Nível 2 - Epidemiológico: Sinal laboratorial corroborado por dados do SINAN, internações hospitalares ou cluster espacial. Ação: Busca ativa institucional e notificação.
• Nível 3 - Evento: Surto confirmado por investigação de campo e vínculo biológico. Ação: Declaração de evento de saúde pública e medidas imediatas de bloqueio.</t>
  </si>
  <si>
    <t>Instrução de Uso</t>
  </si>
  <si>
    <t>Os dados contidos nas abas de exemplo (SE 30/2026 e Caso Juína) representam o modelo conceitual e didático. Devem ser integrados e alimentados automaticamente pelas views analíticas do Data Warehouse (DW · VW_GAL + saida_pipeline).</t>
  </si>
  <si>
    <t>Fontes de Dados</t>
  </si>
  <si>
    <t>• Laboratorial: DW · VW_GAL (Gerenciador de Ambiente Laboratorial / LACEN-MT)
• Epidemiológica: SINAN Online, SINAN Dengue/Chikungunya, SIVEP-Gripe, FormSUS
• Monitoramento: Radar LACEN · CIEVS-MT / SES-MT</t>
  </si>
  <si>
    <t>Versão / Atualização</t>
  </si>
  <si>
    <t>Versão 1.0 — Referência SE 30/2026 — Homologado pelo Comitê Técnico Radar LACEN / CIEVS-MT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</si>
</sst>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2130</v>
      </c>
      <c r="C2">
        <v>3</v>
      </c>
      <c r="D2">
        <f>IFERROR(C2/B2, 0)</f>
        <v>1.4084507042253522E-3</v>
      </c>
      <c r="E2">
        <v>1985</v>
      </c>
      <c r="F2">
        <v>3</v>
      </c>
      <c r="G2">
        <f>IFERROR(F2/E2, 0)</f>
        <v>1.5113350125944584E-3</v>
      </c>
      <c r="H2" t="s">
        <v>15</v>
      </c>
      <c r="I2">
        <v>2</v>
      </c>
      <c r="J2">
        <f>IFERROR(I2/E2, 0)</f>
        <v>1.0075566750629723E-3</v>
      </c>
      <c r="K2">
        <v>0.96499999999999997</v>
      </c>
      <c r="L2" t="s">
        <v>16</v>
      </c>
      <c r="M2" t="s">
        <v>17</v>
      </c>
      <c r="N2" t="s">
        <v>18</v>
      </c>
    </row>
    <row r="3" spans="1:14">
      <c r="A3" t="s">
        <v>19</v>
      </c>
      <c r="B3">
        <v>222</v>
      </c>
      <c r="C3">
        <v>25</v>
      </c>
      <c r="D3">
        <f>IFERROR(C3/B3, 0)</f>
        <v>0.11261261261261261</v>
      </c>
      <c r="E3">
        <v>185</v>
      </c>
      <c r="F3">
        <v>21</v>
      </c>
      <c r="G3">
        <f>IFERROR(F3/E3, 0)</f>
        <v>0.11351351351351352</v>
      </c>
      <c r="H3" t="s">
        <v>20</v>
      </c>
      <c r="I3">
        <v>21</v>
      </c>
      <c r="J3">
        <f>IFERROR(I3/E3, 0)</f>
        <v>0.11351351351351352</v>
      </c>
      <c r="K3">
        <v>0.94199999999999995</v>
      </c>
      <c r="L3" t="s">
        <v>16</v>
      </c>
      <c r="M3" t="s">
        <v>17</v>
      </c>
      <c r="N3" t="s">
        <v>21</v>
      </c>
    </row>
    <row r="4" spans="1:14">
      <c r="A4" t="s">
        <v>22</v>
      </c>
      <c r="B4">
        <v>155</v>
      </c>
      <c r="C4">
        <v>101</v>
      </c>
      <c r="D4">
        <f>IFERROR(C4/B4, 0)</f>
        <v>0.65161290322580645</v>
      </c>
      <c r="E4">
        <v>124</v>
      </c>
      <c r="F4">
        <v>88</v>
      </c>
      <c r="G4">
        <f>IFERROR(F4/E4, 0)</f>
        <v>0.70967741935483875</v>
      </c>
      <c r="H4" t="s">
        <v>23</v>
      </c>
      <c r="I4">
        <v>4</v>
      </c>
      <c r="J4">
        <f>IFERROR(I4/E4, 0)</f>
        <v>3.2258064516129031E-2</v>
      </c>
      <c r="K4">
        <v>0.95799999999999996</v>
      </c>
      <c r="L4" t="s">
        <v>24</v>
      </c>
      <c r="M4" t="s">
        <v>25</v>
      </c>
      <c r="N4" t="s">
        <v>26</v>
      </c>
    </row>
    <row r="5" spans="1:14">
      <c r="A5" t="s">
        <v>27</v>
      </c>
      <c r="B5">
        <v>116</v>
      </c>
      <c r="C5">
        <v>0</v>
      </c>
      <c r="D5">
        <f>IFERROR(C5/B5, 0)</f>
        <v>0</v>
      </c>
      <c r="E5">
        <v>110</v>
      </c>
      <c r="F5">
        <v>0</v>
      </c>
      <c r="G5">
        <f>IFERROR(F5/E5, 0)</f>
        <v>0</v>
      </c>
      <c r="H5" t="s">
        <v>28</v>
      </c>
      <c r="I5">
        <v>0</v>
      </c>
      <c r="J5">
        <f>IFERROR(I5/E5, 0)</f>
        <v>0</v>
      </c>
      <c r="K5">
        <v>0.91400000000000003</v>
      </c>
      <c r="L5" t="s">
        <v>29</v>
      </c>
      <c r="M5" t="s">
        <v>17</v>
      </c>
      <c r="N5" t="s">
        <v>30</v>
      </c>
    </row>
    <row r="6" spans="1:14">
      <c r="A6" t="s">
        <v>31</v>
      </c>
      <c r="B6">
        <v>39</v>
      </c>
      <c r="C6">
        <v>0</v>
      </c>
      <c r="D6">
        <f>IFERROR(C6/B6, 0)</f>
        <v>0</v>
      </c>
      <c r="E6">
        <v>37</v>
      </c>
      <c r="F6">
        <v>0</v>
      </c>
      <c r="G6">
        <f>IFERROR(F6/E6, 0)</f>
        <v>0</v>
      </c>
      <c r="H6" t="s">
        <v>32</v>
      </c>
      <c r="I6">
        <v>0</v>
      </c>
      <c r="J6">
        <f>IFERROR(I6/E6, 0)</f>
        <v>0</v>
      </c>
      <c r="K6">
        <v>0.93</v>
      </c>
      <c r="L6" t="s">
        <v>16</v>
      </c>
      <c r="M6" t="s">
        <v>17</v>
      </c>
      <c r="N6" t="s">
        <v>33</v>
      </c>
    </row>
    <row r="7" spans="1:14">
      <c r="A7" t="s">
        <v>34</v>
      </c>
      <c r="B7">
        <v>31</v>
      </c>
      <c r="C7">
        <v>2</v>
      </c>
      <c r="D7">
        <f>IFERROR(C7/B7, 0)</f>
        <v>6.4516129032258063E-2</v>
      </c>
      <c r="E7">
        <v>29</v>
      </c>
      <c r="F7">
        <v>2</v>
      </c>
      <c r="G7">
        <f>IFERROR(F7/E7, 0)</f>
        <v>6.8965517241379309E-2</v>
      </c>
      <c r="H7" t="s">
        <v>35</v>
      </c>
      <c r="I7">
        <v>2</v>
      </c>
      <c r="J7">
        <f>IFERROR(I7/E7, 0)</f>
        <v>6.8965517241379309E-2</v>
      </c>
      <c r="K7">
        <v>0.90300000000000002</v>
      </c>
      <c r="L7" t="s">
        <v>16</v>
      </c>
      <c r="M7" t="s">
        <v>17</v>
      </c>
      <c r="N7" t="s">
        <v>36</v>
      </c>
    </row>
  </sheetData>
  <pageMargins left="0" right="0" top="0" bottom="0" header="0" footer="0"/>
  <ignoredErrors>
    <ignoredError sqref="A1:N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5"/>
  <sheetData>
    <row r="1" spans="1:8">
      <c r="A1" t="s">
        <v>0</v>
      </c>
      <c r="B1" t="s">
        <v>7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>
      <c r="A2" t="s">
        <v>14</v>
      </c>
      <c r="B2" t="s">
        <v>43</v>
      </c>
      <c r="C2" t="s">
        <v>44</v>
      </c>
      <c r="D2" t="s">
        <v>45</v>
      </c>
      <c r="E2" t="s">
        <v>46</v>
      </c>
      <c r="F2">
        <v>0.9</v>
      </c>
      <c r="G2" t="s">
        <v>47</v>
      </c>
      <c r="H2" t="s">
        <v>48</v>
      </c>
    </row>
    <row r="3" spans="1:8">
      <c r="A3" t="s">
        <v>19</v>
      </c>
      <c r="B3" t="s">
        <v>49</v>
      </c>
      <c r="C3" t="s">
        <v>50</v>
      </c>
      <c r="D3" t="s">
        <v>51</v>
      </c>
      <c r="E3" t="s">
        <v>52</v>
      </c>
      <c r="F3">
        <v>0.9</v>
      </c>
      <c r="G3" t="s">
        <v>53</v>
      </c>
      <c r="H3" t="s">
        <v>54</v>
      </c>
    </row>
    <row r="4" spans="1:8">
      <c r="A4" t="s">
        <v>22</v>
      </c>
      <c r="B4" t="s">
        <v>55</v>
      </c>
      <c r="C4" t="s">
        <v>56</v>
      </c>
      <c r="D4" t="s">
        <v>57</v>
      </c>
      <c r="E4" t="s">
        <v>58</v>
      </c>
      <c r="F4">
        <v>0.9</v>
      </c>
      <c r="G4" t="s">
        <v>59</v>
      </c>
      <c r="H4" t="s">
        <v>60</v>
      </c>
    </row>
    <row r="5" spans="1:8">
      <c r="A5" t="s">
        <v>27</v>
      </c>
      <c r="B5" t="s">
        <v>61</v>
      </c>
      <c r="C5" t="s">
        <v>62</v>
      </c>
      <c r="D5" t="s">
        <v>63</v>
      </c>
      <c r="E5" t="s">
        <v>64</v>
      </c>
      <c r="F5">
        <v>0.9</v>
      </c>
      <c r="G5" t="s">
        <v>65</v>
      </c>
      <c r="H5" t="s">
        <v>66</v>
      </c>
    </row>
    <row r="6" spans="1:8">
      <c r="A6" t="s">
        <v>31</v>
      </c>
      <c r="B6" t="s">
        <v>67</v>
      </c>
      <c r="C6" t="s">
        <v>68</v>
      </c>
      <c r="D6" t="s">
        <v>69</v>
      </c>
      <c r="E6" t="s">
        <v>70</v>
      </c>
      <c r="F6">
        <v>0.9</v>
      </c>
      <c r="G6" t="s">
        <v>71</v>
      </c>
      <c r="H6" t="s">
        <v>72</v>
      </c>
    </row>
    <row r="7" spans="1:8">
      <c r="A7" t="s">
        <v>34</v>
      </c>
      <c r="B7" t="s">
        <v>73</v>
      </c>
      <c r="C7" t="s">
        <v>74</v>
      </c>
      <c r="D7" t="s">
        <v>75</v>
      </c>
      <c r="E7" t="s">
        <v>76</v>
      </c>
      <c r="F7">
        <v>0.85</v>
      </c>
      <c r="G7" t="s">
        <v>77</v>
      </c>
      <c r="H7" t="s">
        <v>78</v>
      </c>
    </row>
  </sheetData>
  <pageMargins left="0" right="0" top="0" bottom="0" header="0" footer="0"/>
  <ignoredErrors>
    <ignoredError sqref="A1:H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/>
  <sheetData>
    <row r="1" spans="1:6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</row>
    <row r="2" spans="1:6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</row>
    <row r="3" spans="1:6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</row>
    <row r="4" spans="1:6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</row>
  </sheetData>
  <pageMargins left="0" right="0" top="0" bottom="0" header="0" footer="0"/>
  <ignoredErrors>
    <ignoredError sqref="A1:F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"/>
  <sheetData>
    <row r="1" spans="1:3">
      <c r="A1" t="s">
        <v>103</v>
      </c>
      <c r="B1" t="s">
        <v>104</v>
      </c>
      <c r="C1" t="s">
        <v>13</v>
      </c>
    </row>
    <row r="2" spans="1:3">
      <c r="A2" t="s">
        <v>1</v>
      </c>
      <c r="B2">
        <v>46</v>
      </c>
      <c r="C2" t="s">
        <v>105</v>
      </c>
    </row>
    <row r="3" spans="1:3">
      <c r="A3" t="s">
        <v>106</v>
      </c>
      <c r="B3" t="s">
        <v>107</v>
      </c>
      <c r="C3" t="s">
        <v>108</v>
      </c>
    </row>
    <row r="4" spans="1:3">
      <c r="A4" t="s">
        <v>109</v>
      </c>
      <c r="B4">
        <v>32</v>
      </c>
      <c r="C4" t="s">
        <v>110</v>
      </c>
    </row>
    <row r="5" spans="1:3">
      <c r="A5" t="s">
        <v>4</v>
      </c>
      <c r="B5">
        <v>42</v>
      </c>
      <c r="C5" t="s">
        <v>111</v>
      </c>
    </row>
    <row r="6" spans="1:3">
      <c r="A6" t="s">
        <v>112</v>
      </c>
      <c r="B6">
        <v>30</v>
      </c>
      <c r="C6" t="s">
        <v>113</v>
      </c>
    </row>
    <row r="7" spans="1:3">
      <c r="A7" t="s">
        <v>114</v>
      </c>
      <c r="B7">
        <v>31</v>
      </c>
      <c r="C7" t="s">
        <v>115</v>
      </c>
    </row>
    <row r="8" spans="1:3">
      <c r="A8" t="s">
        <v>116</v>
      </c>
      <c r="B8">
        <v>2</v>
      </c>
      <c r="C8" t="s">
        <v>117</v>
      </c>
    </row>
    <row r="9" spans="1:3">
      <c r="A9" t="s">
        <v>118</v>
      </c>
      <c r="B9">
        <f>IFERROR(B8/B5, 0)</f>
        <v>4.7619047619047616E-2</v>
      </c>
      <c r="C9" t="s">
        <v>119</v>
      </c>
    </row>
    <row r="10" spans="1:3">
      <c r="A10" t="s">
        <v>120</v>
      </c>
      <c r="B10">
        <v>0.95599999999999996</v>
      </c>
      <c r="C10" t="s">
        <v>121</v>
      </c>
    </row>
    <row r="11" spans="1:3">
      <c r="A11" t="s">
        <v>11</v>
      </c>
      <c r="B11" t="s">
        <v>122</v>
      </c>
      <c r="C11" t="s">
        <v>123</v>
      </c>
    </row>
    <row r="12" spans="1:3">
      <c r="A12" t="s">
        <v>12</v>
      </c>
      <c r="B12" t="s">
        <v>25</v>
      </c>
      <c r="C12" t="s">
        <v>124</v>
      </c>
    </row>
    <row r="13" spans="1:3">
      <c r="A13" t="s">
        <v>125</v>
      </c>
      <c r="B13" t="s">
        <v>126</v>
      </c>
      <c r="C13" t="s">
        <v>127</v>
      </c>
    </row>
  </sheetData>
  <pageMargins left="0" right="0" top="0" bottom="0" header="0" footer="0"/>
  <ignoredErrors>
    <ignoredError sqref="A1:C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5"/>
  <sheetData>
    <row r="1" spans="1:2">
      <c r="A1" t="s">
        <v>103</v>
      </c>
      <c r="B1" t="s">
        <v>128</v>
      </c>
    </row>
    <row r="2" spans="1:2">
      <c r="A2" t="s">
        <v>129</v>
      </c>
      <c r="B2" t="s">
        <v>130</v>
      </c>
    </row>
    <row r="3" spans="1:2">
      <c r="A3" t="s">
        <v>131</v>
      </c>
      <c r="B3" t="s">
        <v>132</v>
      </c>
    </row>
    <row r="4" spans="1:2">
      <c r="A4" t="s">
        <v>133</v>
      </c>
      <c r="B4" t="s">
        <v>134</v>
      </c>
    </row>
    <row r="5" spans="1:2">
      <c r="A5" t="s">
        <v>135</v>
      </c>
      <c r="B5" t="s">
        <v>136</v>
      </c>
    </row>
    <row r="6" spans="1:2">
      <c r="A6" t="s">
        <v>137</v>
      </c>
      <c r="B6" t="s">
        <v>138</v>
      </c>
    </row>
    <row r="7" spans="1:2">
      <c r="A7" t="s">
        <v>139</v>
      </c>
      <c r="B7" t="s">
        <v>140</v>
      </c>
    </row>
    <row r="8" spans="1:2">
      <c r="A8" t="s">
        <v>141</v>
      </c>
      <c r="B8" t="s">
        <v>142</v>
      </c>
    </row>
    <row r="9" spans="1:2">
      <c r="A9" t="s">
        <v>143</v>
      </c>
      <c r="B9" t="s">
        <v>144</v>
      </c>
    </row>
    <row r="10" spans="1:2">
      <c r="A10" t="s">
        <v>145</v>
      </c>
      <c r="B10" t="s">
        <v>146</v>
      </c>
    </row>
  </sheetData>
  <pageMargins left="0" right="0" top="0" bottom="0" header="0" footer="0"/>
  <ignoredErrors>
    <ignoredError sqref="A1:B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2026-08-31T13:56:14Z</dcterms:created>
  <dcterms:modified xsi:type="dcterms:W3CDTF">2026-08-31T13:56:14Z</dcterms:modified>
  <cp:category/>
  <cp:contentStatus/>
</cp:coreProperties>
</file>